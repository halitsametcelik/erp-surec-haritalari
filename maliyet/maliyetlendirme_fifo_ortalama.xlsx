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comments/comment3.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reketler" sheetId="1" state="visible" r:id="rId1"/>
    <sheet name="Ortalama" sheetId="2" state="visible" r:id="rId2"/>
    <sheet name="FIFO" sheetId="3" state="visible" r:id="rId3"/>
    <sheet name="Karşılaştırma" sheetId="4" state="visible" r:id="rId4"/>
  </sheets>
  <definedNames/>
  <calcPr calcId="124519" fullCalcOnLoad="1"/>
</workbook>
</file>

<file path=xl/styles.xml><?xml version="1.0" encoding="utf-8"?>
<styleSheet xmlns="http://schemas.openxmlformats.org/spreadsheetml/2006/main">
  <numFmts count="4">
    <numFmt numFmtId="164" formatCode="yyyy-mm-dd"/>
    <numFmt numFmtId="165" formatCode="dd.mm.yyyy"/>
    <numFmt numFmtId="166" formatCode="#,##0;-#,##0;&quot;-&quot;"/>
    <numFmt numFmtId="167" formatCode="#,##0.00 &quot;₺&quot;;-#,##0.00 &quot;₺&quot;;&quot;-&quot;"/>
  </numFmts>
  <fonts count="10">
    <font>
      <name val="Calibri"/>
      <family val="2"/>
      <color theme="1"/>
      <sz val="11"/>
      <scheme val="minor"/>
    </font>
    <font>
      <name val="Arial"/>
      <b val="1"/>
      <sz val="14"/>
    </font>
    <font>
      <name val="Arial"/>
      <i val="1"/>
      <color rgb="005A6477"/>
      <sz val="10"/>
    </font>
    <font>
      <name val="Arial"/>
      <b val="1"/>
      <color rgb="00FFFFFF"/>
    </font>
    <font>
      <name val="Arial"/>
      <color rgb="000000FF"/>
    </font>
    <font>
      <name val="Arial"/>
      <color rgb="00000000"/>
    </font>
    <font>
      <name val="Arial"/>
      <b val="1"/>
      <color rgb="00000000"/>
    </font>
    <font>
      <name val="Arial"/>
      <color rgb="005A6477"/>
      <sz val="10"/>
    </font>
    <font>
      <name val="Arial"/>
      <color rgb="00008000"/>
    </font>
    <font>
      <name val="Arial"/>
      <b val="1"/>
      <color rgb="00008000"/>
    </font>
  </fonts>
  <fills count="5">
    <fill>
      <patternFill/>
    </fill>
    <fill>
      <patternFill patternType="gray125"/>
    </fill>
    <fill>
      <patternFill patternType="solid">
        <fgColor rgb="001F3A8A"/>
      </patternFill>
    </fill>
    <fill>
      <patternFill patternType="solid">
        <fgColor rgb="00FFF9DB"/>
      </patternFill>
    </fill>
    <fill>
      <patternFill patternType="solid">
        <fgColor rgb="00E8ECF7"/>
      </patternFill>
    </fill>
  </fills>
  <borders count="2">
    <border>
      <left/>
      <right/>
      <top/>
      <bottom/>
      <diagonal/>
    </border>
    <border>
      <left style="thin">
        <color rgb="00C5CBD6"/>
      </left>
      <right style="thin">
        <color rgb="00C5CBD6"/>
      </right>
      <top style="thin">
        <color rgb="00C5CBD6"/>
      </top>
      <bottom style="thin">
        <color rgb="00C5CBD6"/>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165" fontId="4" fillId="3" borderId="1" pivotButton="0" quotePrefix="0" xfId="0"/>
    <xf numFmtId="0" fontId="4" fillId="3" borderId="1" pivotButton="0" quotePrefix="0" xfId="0"/>
    <xf numFmtId="166" fontId="4" fillId="3" borderId="1" pivotButton="0" quotePrefix="0" xfId="0"/>
    <xf numFmtId="167" fontId="4" fillId="3" borderId="1" pivotButton="0" quotePrefix="0" xfId="0"/>
    <xf numFmtId="167" fontId="5" fillId="0" borderId="1" pivotButton="0" quotePrefix="0" xfId="0"/>
    <xf numFmtId="0" fontId="6" fillId="4" borderId="1" pivotButton="0" quotePrefix="0" xfId="0"/>
    <xf numFmtId="0" fontId="5" fillId="4" borderId="1" pivotButton="0" quotePrefix="0" xfId="0"/>
    <xf numFmtId="167" fontId="6" fillId="4" borderId="1" pivotButton="0" quotePrefix="0" xfId="0"/>
    <xf numFmtId="0" fontId="7" fillId="0" borderId="0" applyAlignment="1" pivotButton="0" quotePrefix="0" xfId="0">
      <alignment vertical="top" wrapText="1"/>
    </xf>
    <xf numFmtId="0" fontId="6" fillId="0" borderId="1" pivotButton="0" quotePrefix="0" xfId="0"/>
    <xf numFmtId="0" fontId="5" fillId="0" borderId="1" pivotButton="0" quotePrefix="0" xfId="0"/>
    <xf numFmtId="166" fontId="4" fillId="0" borderId="1" pivotButton="0" quotePrefix="0" xfId="0"/>
    <xf numFmtId="167" fontId="4" fillId="0" borderId="1" pivotButton="0" quotePrefix="0" xfId="0"/>
    <xf numFmtId="165" fontId="8" fillId="0" borderId="1" pivotButton="0" quotePrefix="0" xfId="0"/>
    <xf numFmtId="0" fontId="8" fillId="0" borderId="1" pivotButton="0" quotePrefix="0" xfId="0"/>
    <xf numFmtId="166" fontId="5" fillId="0" borderId="1" pivotButton="0" quotePrefix="0" xfId="0"/>
    <xf numFmtId="167" fontId="8" fillId="0" borderId="1" pivotButton="0" quotePrefix="0" xfId="0"/>
    <xf numFmtId="166" fontId="6" fillId="4" borderId="1" pivotButton="0" quotePrefix="0" xfId="0"/>
    <xf numFmtId="166" fontId="8" fillId="0" borderId="1" pivotButton="0" quotePrefix="0" xfId="0"/>
    <xf numFmtId="167" fontId="9"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Halit</author>
  </authors>
  <commentList>
    <comment ref="F6" authorId="0" shapeId="0">
      <text>
        <t>Satış fiyatları örnek değerdir, sadece brüt kâr karşılaştırması için kullanılır.</t>
      </text>
    </comment>
  </commentList>
</comments>
</file>

<file path=xl/comments/comment2.xml><?xml version="1.0" encoding="utf-8"?>
<comments xmlns="http://schemas.openxmlformats.org/spreadsheetml/2006/main">
  <authors>
    <author>Halit</author>
  </authors>
  <commentList>
    <comment ref="H5" authorId="0" shapeId="0">
      <text>
        <t>Açılış stoku yok varsayıldı. Varsa adet ve tutarı buraya gir.</t>
      </text>
    </comment>
  </commentList>
</comments>
</file>

<file path=xl/comments/comment3.xml><?xml version="1.0" encoding="utf-8"?>
<comments xmlns="http://schemas.openxmlformats.org/spreadsheetml/2006/main">
  <authors>
    <author>Halit</author>
  </authors>
  <commentList>
    <comment ref="F9" authorId="0" shapeId="0">
      <text>
        <t>Bu lottan, satış bitene kadar alınan toplam adet eksi önceki satışlar bitene kadar alınan adet. Böylece her satış önce en eski lotu tüketir.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3.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13" customWidth="1" min="1" max="1"/>
    <col width="11" customWidth="1" min="2" max="2"/>
    <col width="10" customWidth="1" min="3" max="3"/>
    <col width="13" customWidth="1" min="4" max="4"/>
    <col width="15" customWidth="1" min="5" max="5"/>
    <col width="15" customWidth="1" min="6" max="6"/>
    <col width="15" customWidth="1" min="7" max="7"/>
    <col width="16" customWidth="1" min="8" max="8"/>
  </cols>
  <sheetData>
    <row r="1">
      <c r="A1" s="1" t="inlineStr">
        <is>
          <t>Stok Hareketleri: Ayçiçek Yağı 5 L</t>
        </is>
      </c>
    </row>
    <row r="2">
      <c r="A2" s="2" t="inlineStr">
        <is>
          <t>Girdi sayfası. Mavi yazılı sarı hücreleri değiştirebilirsin, diğer sayfalar kendiliğinden yeniden hesaplanır.</t>
        </is>
      </c>
    </row>
    <row r="4" ht="32" customHeight="1">
      <c r="A4" s="3" t="inlineStr">
        <is>
          <t>Tarih</t>
        </is>
      </c>
      <c r="B4" s="3" t="inlineStr">
        <is>
          <t>Belge No</t>
        </is>
      </c>
      <c r="C4" s="3" t="inlineStr">
        <is>
          <t>Hareket</t>
        </is>
      </c>
      <c r="D4" s="3" t="inlineStr">
        <is>
          <t>Miktar (adet)</t>
        </is>
      </c>
      <c r="E4" s="3" t="inlineStr">
        <is>
          <t>Alış birim fiyatı (₺)</t>
        </is>
      </c>
      <c r="F4" s="3" t="inlineStr">
        <is>
          <t>Satış birim fiyatı (₺)</t>
        </is>
      </c>
      <c r="G4" s="3" t="inlineStr">
        <is>
          <t>Alış tutarı (₺)</t>
        </is>
      </c>
      <c r="H4" s="3" t="inlineStr">
        <is>
          <t>Satış hasılatı (₺)</t>
        </is>
      </c>
    </row>
    <row r="5">
      <c r="A5" s="4" t="n">
        <v>46327</v>
      </c>
      <c r="B5" s="5" t="inlineStr">
        <is>
          <t>ALS-001</t>
        </is>
      </c>
      <c r="C5" s="5" t="inlineStr">
        <is>
          <t>Alış</t>
        </is>
      </c>
      <c r="D5" s="6" t="n">
        <v>100</v>
      </c>
      <c r="E5" s="7" t="n">
        <v>10</v>
      </c>
      <c r="F5" s="7" t="n"/>
      <c r="G5" s="8">
        <f>IF(C5="Alış",D5*E5,0)</f>
        <v/>
      </c>
      <c r="H5" s="8">
        <f>IF(C5="Satış",D5*F5,0)</f>
        <v/>
      </c>
    </row>
    <row r="6">
      <c r="A6" s="4" t="n">
        <v>46331</v>
      </c>
      <c r="B6" s="5" t="inlineStr">
        <is>
          <t>STS-001</t>
        </is>
      </c>
      <c r="C6" s="5" t="inlineStr">
        <is>
          <t>Satış</t>
        </is>
      </c>
      <c r="D6" s="6" t="n">
        <v>80</v>
      </c>
      <c r="E6" s="7" t="n"/>
      <c r="F6" s="7" t="n">
        <v>20</v>
      </c>
      <c r="G6" s="8">
        <f>IF(C6="Alış",D6*E6,0)</f>
        <v/>
      </c>
      <c r="H6" s="8">
        <f>IF(C6="Satış",D6*F6,0)</f>
        <v/>
      </c>
    </row>
    <row r="7">
      <c r="A7" s="4" t="n">
        <v>46336</v>
      </c>
      <c r="B7" s="5" t="inlineStr">
        <is>
          <t>ALS-002</t>
        </is>
      </c>
      <c r="C7" s="5" t="inlineStr">
        <is>
          <t>Alış</t>
        </is>
      </c>
      <c r="D7" s="6" t="n">
        <v>30</v>
      </c>
      <c r="E7" s="7" t="n">
        <v>15</v>
      </c>
      <c r="F7" s="7" t="n"/>
      <c r="G7" s="8">
        <f>IF(C7="Alış",D7*E7,0)</f>
        <v/>
      </c>
      <c r="H7" s="8">
        <f>IF(C7="Satış",D7*F7,0)</f>
        <v/>
      </c>
    </row>
    <row r="8">
      <c r="A8" s="4" t="n">
        <v>46341</v>
      </c>
      <c r="B8" s="5" t="inlineStr">
        <is>
          <t>ALS-003</t>
        </is>
      </c>
      <c r="C8" s="5" t="inlineStr">
        <is>
          <t>Alış</t>
        </is>
      </c>
      <c r="D8" s="6" t="n">
        <v>50</v>
      </c>
      <c r="E8" s="7" t="n">
        <v>17</v>
      </c>
      <c r="F8" s="7" t="n"/>
      <c r="G8" s="8">
        <f>IF(C8="Alış",D8*E8,0)</f>
        <v/>
      </c>
      <c r="H8" s="8">
        <f>IF(C8="Satış",D8*F8,0)</f>
        <v/>
      </c>
    </row>
    <row r="9">
      <c r="A9" s="4" t="n">
        <v>46346</v>
      </c>
      <c r="B9" s="5" t="inlineStr">
        <is>
          <t>STS-002</t>
        </is>
      </c>
      <c r="C9" s="5" t="inlineStr">
        <is>
          <t>Satış</t>
        </is>
      </c>
      <c r="D9" s="6" t="n">
        <v>90</v>
      </c>
      <c r="E9" s="7" t="n"/>
      <c r="F9" s="7" t="n">
        <v>22</v>
      </c>
      <c r="G9" s="8">
        <f>IF(C9="Alış",D9*E9,0)</f>
        <v/>
      </c>
      <c r="H9" s="8">
        <f>IF(C9="Satış",D9*F9,0)</f>
        <v/>
      </c>
    </row>
    <row r="10">
      <c r="A10" s="9" t="inlineStr">
        <is>
          <t>Toplam</t>
        </is>
      </c>
      <c r="B10" s="10" t="n"/>
      <c r="C10" s="10" t="n"/>
      <c r="D10" s="10" t="n"/>
      <c r="E10" s="10" t="n"/>
      <c r="F10" s="10" t="n"/>
      <c r="G10" s="11">
        <f>SUM(G5:G9)</f>
        <v/>
      </c>
      <c r="H10" s="11">
        <f>SUM(H5:H9)</f>
        <v/>
      </c>
    </row>
    <row r="12" ht="28" customHeight="1">
      <c r="A12" s="12" t="inlineStr">
        <is>
          <t>Renkler: mavi = girdi (değiştirilebilir), siyah = formül, yeşil = başka sayfadan gelen değer.</t>
        </is>
      </c>
    </row>
    <row r="13" ht="28" customHeight="1">
      <c r="A13" s="12" t="inlineStr">
        <is>
          <t>Kurallar: Hareketler tarih sırasıyla girilir. Satış miktarı o tarihte eldeki stoğu aşmamalıdır (FIFO formülleri stok eksiye düşmeden çalışır).</t>
        </is>
      </c>
    </row>
    <row r="14" ht="28" customHeight="1">
      <c r="A14" s="12" t="inlineStr">
        <is>
          <t>Yeni bir alış eklersen FIFO sayfasına bir lot satırı, yeni bir satış eklersen bir satış satırı ve sütunu eklemen gerekir.</t>
        </is>
      </c>
    </row>
  </sheetData>
  <mergeCells count="3">
    <mergeCell ref="A12:H12"/>
    <mergeCell ref="A13:H13"/>
    <mergeCell ref="A14:H1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13"/>
  <sheetViews>
    <sheetView workbookViewId="0">
      <pane ySplit="4" topLeftCell="A5" activePane="bottomLeft" state="frozen"/>
      <selection pane="bottomLeft" activeCell="A1" sqref="A1"/>
    </sheetView>
  </sheetViews>
  <sheetFormatPr baseColWidth="8" defaultRowHeight="15"/>
  <cols>
    <col width="13" customWidth="1" min="1" max="1"/>
    <col width="13" customWidth="1" min="2" max="2"/>
    <col width="11" customWidth="1" min="3" max="3"/>
    <col width="15" customWidth="1" min="4" max="4"/>
    <col width="11" customWidth="1" min="5" max="5"/>
    <col width="16" customWidth="1" min="6" max="6"/>
    <col width="14" customWidth="1" min="7" max="7"/>
    <col width="11" customWidth="1" min="8" max="8"/>
    <col width="15" customWidth="1" min="9" max="9"/>
    <col width="15" customWidth="1" min="10" max="10"/>
  </cols>
  <sheetData>
    <row r="1">
      <c r="A1" s="1" t="inlineStr">
        <is>
          <t>Hareketli Ağırlıklı Ortalama</t>
        </is>
      </c>
    </row>
    <row r="2">
      <c r="A2" s="2" t="inlineStr">
        <is>
          <t>Her alıştan sonra birim maliyet yeniden hesaplanır: Birim maliyet = Eldeki tutar ÷ Eldeki adet. Satış birim maliyeti değiştirmez.</t>
        </is>
      </c>
    </row>
    <row r="4" ht="32" customHeight="1">
      <c r="A4" s="3" t="inlineStr">
        <is>
          <t>Tarih</t>
        </is>
      </c>
      <c r="B4" s="3" t="inlineStr">
        <is>
          <t>Hareket</t>
        </is>
      </c>
      <c r="C4" s="3" t="inlineStr">
        <is>
          <t>Giriş adedi</t>
        </is>
      </c>
      <c r="D4" s="3" t="inlineStr">
        <is>
          <t>Giriş tutarı (₺)</t>
        </is>
      </c>
      <c r="E4" s="3" t="inlineStr">
        <is>
          <t>Çıkış adedi</t>
        </is>
      </c>
      <c r="F4" s="3" t="inlineStr">
        <is>
          <t>Çıkış birim maliyeti (₺)</t>
        </is>
      </c>
      <c r="G4" s="3" t="inlineStr">
        <is>
          <t>SMM (₺)</t>
        </is>
      </c>
      <c r="H4" s="3" t="inlineStr">
        <is>
          <t>Eldeki adet</t>
        </is>
      </c>
      <c r="I4" s="3" t="inlineStr">
        <is>
          <t>Eldeki tutar (₺)</t>
        </is>
      </c>
      <c r="J4" s="3" t="inlineStr">
        <is>
          <t>Birim maliyet (₺)</t>
        </is>
      </c>
    </row>
    <row r="5">
      <c r="A5" s="13" t="inlineStr">
        <is>
          <t>Açılış</t>
        </is>
      </c>
      <c r="B5" s="14" t="inlineStr">
        <is>
          <t>Açılış stoku</t>
        </is>
      </c>
      <c r="C5" s="15" t="n">
        <v>0</v>
      </c>
      <c r="D5" s="16" t="n">
        <v>0</v>
      </c>
      <c r="E5" s="15" t="n">
        <v>0</v>
      </c>
      <c r="F5" s="16" t="n">
        <v>0</v>
      </c>
      <c r="G5" s="16" t="n">
        <v>0</v>
      </c>
      <c r="H5" s="15" t="n">
        <v>0</v>
      </c>
      <c r="I5" s="16" t="n">
        <v>0</v>
      </c>
      <c r="J5" s="16" t="n">
        <v>0</v>
      </c>
    </row>
    <row r="6">
      <c r="A6" s="17">
        <f>Hareketler!A5</f>
        <v/>
      </c>
      <c r="B6" s="18">
        <f>Hareketler!C5</f>
        <v/>
      </c>
      <c r="C6" s="19">
        <f>IF(B6="Alış",Hareketler!D5,0)</f>
        <v/>
      </c>
      <c r="D6" s="20">
        <f>Hareketler!G5</f>
        <v/>
      </c>
      <c r="E6" s="19">
        <f>IF(B6="Satış",Hareketler!D5,0)</f>
        <v/>
      </c>
      <c r="F6" s="8">
        <f>IF(E6&gt;0,J5,0)</f>
        <v/>
      </c>
      <c r="G6" s="8">
        <f>E6*F6</f>
        <v/>
      </c>
      <c r="H6" s="19">
        <f>H5+C6-E6</f>
        <v/>
      </c>
      <c r="I6" s="8">
        <f>I5+D6-G6</f>
        <v/>
      </c>
      <c r="J6" s="8">
        <f>IF(H6&gt;0,I6/H6,J5)</f>
        <v/>
      </c>
    </row>
    <row r="7">
      <c r="A7" s="17">
        <f>Hareketler!A6</f>
        <v/>
      </c>
      <c r="B7" s="18">
        <f>Hareketler!C6</f>
        <v/>
      </c>
      <c r="C7" s="19">
        <f>IF(B7="Alış",Hareketler!D6,0)</f>
        <v/>
      </c>
      <c r="D7" s="20">
        <f>Hareketler!G6</f>
        <v/>
      </c>
      <c r="E7" s="19">
        <f>IF(B7="Satış",Hareketler!D6,0)</f>
        <v/>
      </c>
      <c r="F7" s="8">
        <f>IF(E7&gt;0,J6,0)</f>
        <v/>
      </c>
      <c r="G7" s="8">
        <f>E7*F7</f>
        <v/>
      </c>
      <c r="H7" s="19">
        <f>H6+C7-E7</f>
        <v/>
      </c>
      <c r="I7" s="8">
        <f>I6+D7-G7</f>
        <v/>
      </c>
      <c r="J7" s="8">
        <f>IF(H7&gt;0,I7/H7,J6)</f>
        <v/>
      </c>
    </row>
    <row r="8">
      <c r="A8" s="17">
        <f>Hareketler!A7</f>
        <v/>
      </c>
      <c r="B8" s="18">
        <f>Hareketler!C7</f>
        <v/>
      </c>
      <c r="C8" s="19">
        <f>IF(B8="Alış",Hareketler!D7,0)</f>
        <v/>
      </c>
      <c r="D8" s="20">
        <f>Hareketler!G7</f>
        <v/>
      </c>
      <c r="E8" s="19">
        <f>IF(B8="Satış",Hareketler!D7,0)</f>
        <v/>
      </c>
      <c r="F8" s="8">
        <f>IF(E8&gt;0,J7,0)</f>
        <v/>
      </c>
      <c r="G8" s="8">
        <f>E8*F8</f>
        <v/>
      </c>
      <c r="H8" s="19">
        <f>H7+C8-E8</f>
        <v/>
      </c>
      <c r="I8" s="8">
        <f>I7+D8-G8</f>
        <v/>
      </c>
      <c r="J8" s="8">
        <f>IF(H8&gt;0,I8/H8,J7)</f>
        <v/>
      </c>
    </row>
    <row r="9">
      <c r="A9" s="17">
        <f>Hareketler!A8</f>
        <v/>
      </c>
      <c r="B9" s="18">
        <f>Hareketler!C8</f>
        <v/>
      </c>
      <c r="C9" s="19">
        <f>IF(B9="Alış",Hareketler!D8,0)</f>
        <v/>
      </c>
      <c r="D9" s="20">
        <f>Hareketler!G8</f>
        <v/>
      </c>
      <c r="E9" s="19">
        <f>IF(B9="Satış",Hareketler!D8,0)</f>
        <v/>
      </c>
      <c r="F9" s="8">
        <f>IF(E9&gt;0,J8,0)</f>
        <v/>
      </c>
      <c r="G9" s="8">
        <f>E9*F9</f>
        <v/>
      </c>
      <c r="H9" s="19">
        <f>H8+C9-E9</f>
        <v/>
      </c>
      <c r="I9" s="8">
        <f>I8+D9-G9</f>
        <v/>
      </c>
      <c r="J9" s="8">
        <f>IF(H9&gt;0,I9/H9,J8)</f>
        <v/>
      </c>
    </row>
    <row r="10">
      <c r="A10" s="17">
        <f>Hareketler!A9</f>
        <v/>
      </c>
      <c r="B10" s="18">
        <f>Hareketler!C9</f>
        <v/>
      </c>
      <c r="C10" s="19">
        <f>IF(B10="Alış",Hareketler!D9,0)</f>
        <v/>
      </c>
      <c r="D10" s="20">
        <f>Hareketler!G9</f>
        <v/>
      </c>
      <c r="E10" s="19">
        <f>IF(B10="Satış",Hareketler!D9,0)</f>
        <v/>
      </c>
      <c r="F10" s="8">
        <f>IF(E10&gt;0,J9,0)</f>
        <v/>
      </c>
      <c r="G10" s="8">
        <f>E10*F10</f>
        <v/>
      </c>
      <c r="H10" s="19">
        <f>H9+C10-E10</f>
        <v/>
      </c>
      <c r="I10" s="8">
        <f>I9+D10-G10</f>
        <v/>
      </c>
      <c r="J10" s="8">
        <f>IF(H10&gt;0,I10/H10,J9)</f>
        <v/>
      </c>
    </row>
    <row r="11">
      <c r="A11" s="9" t="inlineStr">
        <is>
          <t>Toplam</t>
        </is>
      </c>
      <c r="B11" s="10" t="n"/>
      <c r="C11" s="21">
        <f>SUM(C6:C10)</f>
        <v/>
      </c>
      <c r="D11" s="11">
        <f>SUM(D6:D10)</f>
        <v/>
      </c>
      <c r="E11" s="21">
        <f>SUM(E6:E10)</f>
        <v/>
      </c>
      <c r="F11" s="10" t="n"/>
      <c r="G11" s="11">
        <f>SUM(G6:G10)</f>
        <v/>
      </c>
      <c r="H11" s="10" t="n"/>
      <c r="I11" s="10" t="n"/>
      <c r="J11" s="10" t="n"/>
    </row>
    <row r="13" ht="30" customHeight="1">
      <c r="A13" s="12" t="inlineStr">
        <is>
          <t>Okuma: 10.11'deki alıştan sonra eldeki 20 adet (200 ₺) ile yeni 30 adet (450 ₺) karışır: 650 ÷ 50 = 13 ₺. 15.11'de (650 + 850) ÷ 100 = 15 ₺ olur. 20.11 satışı bu 15 ₺'den çıkar.</t>
        </is>
      </c>
    </row>
  </sheetData>
  <mergeCells count="1">
    <mergeCell ref="A13:J1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K14"/>
  <sheetViews>
    <sheetView workbookViewId="0">
      <selection activeCell="A1" sqref="A1"/>
    </sheetView>
  </sheetViews>
  <sheetFormatPr baseColWidth="8" defaultRowHeight="15"/>
  <cols>
    <col width="8" customWidth="1" min="1" max="1"/>
    <col width="12" customWidth="1" min="2" max="2"/>
    <col width="11" customWidth="1" min="3" max="3"/>
    <col width="13" customWidth="1" min="4" max="4"/>
    <col width="14" customWidth="1" min="5" max="5"/>
    <col width="13" customWidth="1" min="6" max="6"/>
    <col width="13" customWidth="1" min="7" max="7"/>
    <col width="11" customWidth="1" min="8" max="8"/>
    <col width="14" customWidth="1" min="9" max="9"/>
    <col width="14" customWidth="1" min="10" max="10"/>
    <col width="14" customWidth="1" min="11" max="11"/>
  </cols>
  <sheetData>
    <row r="1">
      <c r="A1" s="1" t="inlineStr">
        <is>
          <t>FIFO: İlk Giren İlk Çıkar</t>
        </is>
      </c>
    </row>
    <row r="2">
      <c r="A2" s="2" t="inlineStr">
        <is>
          <t>Her satış önce en eski lottan düşer. Tablo, her satışın hangi lottan kaç adet aldığını gösterir.</t>
        </is>
      </c>
    </row>
    <row r="4" ht="32" customHeight="1">
      <c r="A4" s="3" t="inlineStr">
        <is>
          <t>Satış</t>
        </is>
      </c>
      <c r="B4" s="3" t="inlineStr">
        <is>
          <t>Tarih</t>
        </is>
      </c>
      <c r="C4" s="3" t="inlineStr">
        <is>
          <t>Adet</t>
        </is>
      </c>
      <c r="D4" s="3" t="inlineStr">
        <is>
          <t>Önceki satışlar toplamı</t>
        </is>
      </c>
      <c r="E4" s="3" t="inlineStr">
        <is>
          <t>Bu satış dahil toplam</t>
        </is>
      </c>
    </row>
    <row r="5">
      <c r="A5" s="13" t="inlineStr">
        <is>
          <t>S1</t>
        </is>
      </c>
      <c r="B5" s="17">
        <f>Hareketler!A6</f>
        <v/>
      </c>
      <c r="C5" s="22">
        <f>Hareketler!D6</f>
        <v/>
      </c>
      <c r="D5" s="15" t="n">
        <v>0</v>
      </c>
      <c r="E5" s="19">
        <f>D5+C5</f>
        <v/>
      </c>
    </row>
    <row r="6">
      <c r="A6" s="13" t="inlineStr">
        <is>
          <t>S2</t>
        </is>
      </c>
      <c r="B6" s="17">
        <f>Hareketler!A9</f>
        <v/>
      </c>
      <c r="C6" s="22">
        <f>Hareketler!D9</f>
        <v/>
      </c>
      <c r="D6" s="19">
        <f>E5</f>
        <v/>
      </c>
      <c r="E6" s="19">
        <f>D6+C6</f>
        <v/>
      </c>
    </row>
    <row r="8" ht="32" customHeight="1">
      <c r="A8" s="3" t="inlineStr">
        <is>
          <t>Lot</t>
        </is>
      </c>
      <c r="B8" s="3" t="inlineStr">
        <is>
          <t>Tarih</t>
        </is>
      </c>
      <c r="C8" s="3" t="inlineStr">
        <is>
          <t>Alış adedi</t>
        </is>
      </c>
      <c r="D8" s="3" t="inlineStr">
        <is>
          <t>Birim fiyat (₺)</t>
        </is>
      </c>
      <c r="E8" s="3" t="inlineStr">
        <is>
          <t>Önceki lotlar toplamı</t>
        </is>
      </c>
      <c r="F8" s="3" t="inlineStr">
        <is>
          <t>S1'e verilen adet</t>
        </is>
      </c>
      <c r="G8" s="3" t="inlineStr">
        <is>
          <t>S2'ye verilen adet</t>
        </is>
      </c>
      <c r="H8" s="3" t="inlineStr">
        <is>
          <t>Kalan adet</t>
        </is>
      </c>
      <c r="I8" s="3" t="inlineStr">
        <is>
          <t>S1 maliyeti (₺)</t>
        </is>
      </c>
      <c r="J8" s="3" t="inlineStr">
        <is>
          <t>S2 maliyeti (₺)</t>
        </is>
      </c>
      <c r="K8" s="3" t="inlineStr">
        <is>
          <t>Kalan değer (₺)</t>
        </is>
      </c>
    </row>
    <row r="9">
      <c r="A9" s="13" t="inlineStr">
        <is>
          <t>A1</t>
        </is>
      </c>
      <c r="B9" s="17">
        <f>Hareketler!A5</f>
        <v/>
      </c>
      <c r="C9" s="22">
        <f>Hareketler!D5</f>
        <v/>
      </c>
      <c r="D9" s="20">
        <f>Hareketler!E5</f>
        <v/>
      </c>
      <c r="E9" s="15" t="n">
        <v>0</v>
      </c>
      <c r="F9" s="19">
        <f>MIN($C9,MAX(0,$E$5-$E9))-MIN($C9,MAX(0,$D$5-$E9))</f>
        <v/>
      </c>
      <c r="G9" s="19">
        <f>MIN($C9,MAX(0,$E$6-$E9))-MIN($C9,MAX(0,$D$6-$E9))</f>
        <v/>
      </c>
      <c r="H9" s="19">
        <f>C9-F9-G9</f>
        <v/>
      </c>
      <c r="I9" s="8">
        <f>F9*$D9</f>
        <v/>
      </c>
      <c r="J9" s="8">
        <f>G9*$D9</f>
        <v/>
      </c>
      <c r="K9" s="8">
        <f>H9*$D9</f>
        <v/>
      </c>
    </row>
    <row r="10">
      <c r="A10" s="13" t="inlineStr">
        <is>
          <t>A2</t>
        </is>
      </c>
      <c r="B10" s="17">
        <f>Hareketler!A7</f>
        <v/>
      </c>
      <c r="C10" s="22">
        <f>Hareketler!D7</f>
        <v/>
      </c>
      <c r="D10" s="20">
        <f>Hareketler!E7</f>
        <v/>
      </c>
      <c r="E10" s="19">
        <f>E9+C9</f>
        <v/>
      </c>
      <c r="F10" s="19">
        <f>MIN($C10,MAX(0,$E$5-$E10))-MIN($C10,MAX(0,$D$5-$E10))</f>
        <v/>
      </c>
      <c r="G10" s="19">
        <f>MIN($C10,MAX(0,$E$6-$E10))-MIN($C10,MAX(0,$D$6-$E10))</f>
        <v/>
      </c>
      <c r="H10" s="19">
        <f>C10-F10-G10</f>
        <v/>
      </c>
      <c r="I10" s="8">
        <f>F10*$D10</f>
        <v/>
      </c>
      <c r="J10" s="8">
        <f>G10*$D10</f>
        <v/>
      </c>
      <c r="K10" s="8">
        <f>H10*$D10</f>
        <v/>
      </c>
    </row>
    <row r="11">
      <c r="A11" s="13" t="inlineStr">
        <is>
          <t>A3</t>
        </is>
      </c>
      <c r="B11" s="17">
        <f>Hareketler!A8</f>
        <v/>
      </c>
      <c r="C11" s="22">
        <f>Hareketler!D8</f>
        <v/>
      </c>
      <c r="D11" s="20">
        <f>Hareketler!E8</f>
        <v/>
      </c>
      <c r="E11" s="19">
        <f>E10+C10</f>
        <v/>
      </c>
      <c r="F11" s="19">
        <f>MIN($C11,MAX(0,$E$5-$E11))-MIN($C11,MAX(0,$D$5-$E11))</f>
        <v/>
      </c>
      <c r="G11" s="19">
        <f>MIN($C11,MAX(0,$E$6-$E11))-MIN($C11,MAX(0,$D$6-$E11))</f>
        <v/>
      </c>
      <c r="H11" s="19">
        <f>C11-F11-G11</f>
        <v/>
      </c>
      <c r="I11" s="8">
        <f>F11*$D11</f>
        <v/>
      </c>
      <c r="J11" s="8">
        <f>G11*$D11</f>
        <v/>
      </c>
      <c r="K11" s="8">
        <f>H11*$D11</f>
        <v/>
      </c>
    </row>
    <row r="12">
      <c r="A12" s="9" t="inlineStr">
        <is>
          <t>Toplam</t>
        </is>
      </c>
      <c r="B12" s="10" t="n"/>
      <c r="C12" s="21">
        <f>SUM(C9:C11)</f>
        <v/>
      </c>
      <c r="D12" s="10" t="n"/>
      <c r="E12" s="10" t="n"/>
      <c r="F12" s="21">
        <f>SUM(F9:F11)</f>
        <v/>
      </c>
      <c r="G12" s="21">
        <f>SUM(G9:G11)</f>
        <v/>
      </c>
      <c r="H12" s="21">
        <f>SUM(H9:H11)</f>
        <v/>
      </c>
      <c r="I12" s="11">
        <f>SUM(I9:I11)</f>
        <v/>
      </c>
      <c r="J12" s="11">
        <f>SUM(J9:J11)</f>
        <v/>
      </c>
      <c r="K12" s="11">
        <f>SUM(K9:K11)</f>
        <v/>
      </c>
    </row>
    <row r="14" ht="30" customHeight="1">
      <c r="A14" s="12" t="inlineStr">
        <is>
          <t>Okuma: S1 (80 adet) tamamen A1'den çıkar (80 × 10 = 800 ₺). S2 (90 adet) önce A1'in kalan 20 adedini, sonra A2'nin 30 adedini, en son A3'ten 40 adet alır. Elde A3'ten 10 adet kalır.</t>
        </is>
      </c>
    </row>
  </sheetData>
  <mergeCells count="1">
    <mergeCell ref="A14:K14"/>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0" customWidth="1" min="1" max="1"/>
    <col width="16" customWidth="1" min="2" max="2"/>
    <col width="18" customWidth="1" min="3" max="3"/>
    <col width="22" customWidth="1" min="4" max="4"/>
  </cols>
  <sheetData>
    <row r="1">
      <c r="A1" s="1" t="inlineStr">
        <is>
          <t>FIFO ve Ağırlıklı Ortalama Yan Yana</t>
        </is>
      </c>
    </row>
    <row r="2">
      <c r="A2" s="2" t="inlineStr">
        <is>
          <t>Aynı hareketler, iki farklı maliyet yöntemi.</t>
        </is>
      </c>
    </row>
    <row r="4" ht="32" customHeight="1">
      <c r="A4" s="3" t="inlineStr">
        <is>
          <t>Kalem</t>
        </is>
      </c>
      <c r="B4" s="3" t="inlineStr">
        <is>
          <t>FIFO</t>
        </is>
      </c>
      <c r="C4" s="3" t="inlineStr">
        <is>
          <t>Ağırlıklı ortalama</t>
        </is>
      </c>
      <c r="D4" s="3" t="inlineStr">
        <is>
          <t>Fark (FIFO − Ortalama)</t>
        </is>
      </c>
    </row>
    <row r="5">
      <c r="A5" s="14" t="inlineStr">
        <is>
          <t>S1 SMM (05.11)</t>
        </is>
      </c>
      <c r="B5" s="20">
        <f>FIFO!I12</f>
        <v/>
      </c>
      <c r="C5" s="20">
        <f>Ortalama!G7</f>
        <v/>
      </c>
      <c r="D5" s="8">
        <f>B5-C5</f>
        <v/>
      </c>
    </row>
    <row r="6">
      <c r="A6" s="14" t="inlineStr">
        <is>
          <t>S2 SMM (20.11)</t>
        </is>
      </c>
      <c r="B6" s="20">
        <f>FIFO!J12</f>
        <v/>
      </c>
      <c r="C6" s="20">
        <f>Ortalama!G10</f>
        <v/>
      </c>
      <c r="D6" s="8">
        <f>B6-C6</f>
        <v/>
      </c>
    </row>
    <row r="7">
      <c r="A7" s="9" t="inlineStr">
        <is>
          <t>Toplam SMM</t>
        </is>
      </c>
      <c r="B7" s="23">
        <f>B5+B6</f>
        <v/>
      </c>
      <c r="C7" s="23">
        <f>C5+C6</f>
        <v/>
      </c>
      <c r="D7" s="11">
        <f>B7-C7</f>
        <v/>
      </c>
    </row>
    <row r="8">
      <c r="A8" s="14" t="inlineStr">
        <is>
          <t>Kalan stok adedi</t>
        </is>
      </c>
      <c r="B8" s="22">
        <f>FIFO!H12</f>
        <v/>
      </c>
      <c r="C8" s="22">
        <f>Ortalama!H10</f>
        <v/>
      </c>
      <c r="D8" s="19">
        <f>B8-C8</f>
        <v/>
      </c>
    </row>
    <row r="9">
      <c r="A9" s="14" t="inlineStr">
        <is>
          <t>Kalan stok değeri</t>
        </is>
      </c>
      <c r="B9" s="20">
        <f>FIFO!K12</f>
        <v/>
      </c>
      <c r="C9" s="20">
        <f>Ortalama!I10</f>
        <v/>
      </c>
      <c r="D9" s="8">
        <f>B9-C9</f>
        <v/>
      </c>
    </row>
    <row r="10">
      <c r="A10" s="14" t="inlineStr">
        <is>
          <t>Satış hasılatı</t>
        </is>
      </c>
      <c r="B10" s="20">
        <f>Hareketler!H10</f>
        <v/>
      </c>
      <c r="C10" s="20">
        <f>Hareketler!H10</f>
        <v/>
      </c>
      <c r="D10" s="8">
        <f>B10-C10</f>
        <v/>
      </c>
    </row>
    <row r="11">
      <c r="A11" s="9" t="inlineStr">
        <is>
          <t>Brüt kâr (hasılat − SMM)</t>
        </is>
      </c>
      <c r="B11" s="23">
        <f>B10-B7</f>
        <v/>
      </c>
      <c r="C11" s="23">
        <f>C10-C7</f>
        <v/>
      </c>
      <c r="D11" s="11">
        <f>B11-C11</f>
        <v/>
      </c>
    </row>
    <row r="13">
      <c r="A13" s="13" t="inlineStr">
        <is>
          <t>Toplam alış tutarı</t>
        </is>
      </c>
      <c r="B13" s="20">
        <f>Hareketler!G10</f>
        <v/>
      </c>
      <c r="C13" s="20">
        <f>Hareketler!G10</f>
        <v/>
      </c>
    </row>
    <row r="14">
      <c r="A14" s="13" t="inlineStr">
        <is>
          <t>Sağlama: alış = SMM + kalan</t>
        </is>
      </c>
      <c r="B14" s="13">
        <f>IF(ABS(B13-B7-B9)&lt;0.01,"Tutuyor","HATA")</f>
        <v/>
      </c>
      <c r="C14" s="13">
        <f>IF(ABS(C13-C7-C9)&lt;0.01,"Tutuyor","HATA")</f>
        <v/>
      </c>
    </row>
    <row r="16" ht="92" customHeight="1">
      <c r="A16" s="12" t="inlineStr">
        <is>
          <t>Neden farklı? Fiyatlar 10 ₺'den 17 ₺'ye yükseldi. FIFO satışlarda önce eski ve ucuz lotları kullanır, elde en yeni ve pahalı lot kalır. Bu yüzden FIFO'da SMM daha düşük, kalan stok değeri ve brüt kâr daha yüksektir. Ortalama yöntemi eski ve yeni fiyatları karıştırdığı için SMM'yi yükseltir. İki yöntemde de toplam alış aynıdır, değişen yalnızca bu tutarın SMM ile kalan stok arasında nasıl bölündüğüdür.</t>
        </is>
      </c>
    </row>
  </sheetData>
  <mergeCells count="1">
    <mergeCell ref="A16:D1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2026-10-28T13:29:26Z</dcterms:created>
  <dcterms:modified xsi:type="dcterms:W3CDTF">2026-10-28T13:29:26Z</dcterms:modified>
</cp:coreProperties>
</file>